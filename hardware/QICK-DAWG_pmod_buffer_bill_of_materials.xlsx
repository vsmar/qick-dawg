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hakt\Documents\QICK_DAWG\"/>
    </mc:Choice>
  </mc:AlternateContent>
  <xr:revisionPtr revIDLastSave="0" documentId="13_ncr:1_{5ACCCD6D-FBA7-4FFD-80FC-3B93D03DF1D5}" xr6:coauthVersionLast="47" xr6:coauthVersionMax="47" xr10:uidLastSave="{00000000-0000-0000-0000-000000000000}"/>
  <bookViews>
    <workbookView xWindow="-110" yWindow="-110" windowWidth="19420" windowHeight="11500" tabRatio="188" xr2:uid="{DD4DB335-1E89-4E08-B2AD-0D61A93C3D24}"/>
  </bookViews>
  <sheets>
    <sheet name="pmod_buf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<sst xmlns="http://schemas.openxmlformats.org/spreadsheetml/2006/main" count="39" uniqueCount="37">
  <si>
    <t>Quantity</t>
  </si>
  <si>
    <t>https://www.digikey.com/en/products/detail/taoglas-limited/PCB-114SMAFSTJ-A/15998672</t>
  </si>
  <si>
    <t>https://www.digikey.com/en/products/detail/texas-instruments/LM5114BMF-NOPB/3137454</t>
  </si>
  <si>
    <t>https://www.digikey.com/en/products/detail/samsung-electro-mechanics/CL21A106KOQNNNE/3886754</t>
  </si>
  <si>
    <t>https://www.digikey.com/en/products/detail/panasonic-electronic-components/ERJ-6GEY0R00V/78163</t>
  </si>
  <si>
    <t>https://www.digikey.com/en/products/detail/vishay-dale/CRCW08054K70FKEAC/7928553</t>
  </si>
  <si>
    <t>https://www.digikey.com/en/products/detail/w%C3%BCrth-elektronik/150060GS75000/4489898</t>
  </si>
  <si>
    <t>https://www.digikey.com/en/products/detail/amphenol-cs-commercial-products/G800W590018EU/13682991</t>
  </si>
  <si>
    <t>USB-A-S-RA-TSMT</t>
  </si>
  <si>
    <t>https://www.digikey.com/en/products/detail/adam-tech/USB-A-S-RA-TSMT/9832331</t>
  </si>
  <si>
    <t>https://www.digikey.com/en/products/detail/assmann-wsw-components/AK670-2-1-BLACK/2391702</t>
  </si>
  <si>
    <t>https://www.digikey.com/en/products/detail/samtec-inc/IDSD-06-D-08-00-T/9719603</t>
  </si>
  <si>
    <t>Supplier Source</t>
  </si>
  <si>
    <t>Total (USD)</t>
  </si>
  <si>
    <t>Cost Per Unit (USD)</t>
  </si>
  <si>
    <t>Component</t>
  </si>
  <si>
    <t>PCB.114SMAFSTJ.A</t>
  </si>
  <si>
    <t>LM5114BMF/NOPB</t>
  </si>
  <si>
    <t>Name</t>
  </si>
  <si>
    <t>CL21A106KOQNNNE</t>
  </si>
  <si>
    <t>ERJ-6GEY0R00V</t>
  </si>
  <si>
    <t>CRCW08054K70FKEAC</t>
  </si>
  <si>
    <t>150060GS75000</t>
  </si>
  <si>
    <t>G800W590018EU</t>
  </si>
  <si>
    <t>10 µF 16V Ceramic Capacitor</t>
  </si>
  <si>
    <t>Low-Side Gate Driver</t>
  </si>
  <si>
    <t>0 Ohms Jumper Chip Resistor</t>
  </si>
  <si>
    <t>4.7 kOhms Chip Resistor</t>
  </si>
  <si>
    <t>Green 520nm LED Indication</t>
  </si>
  <si>
    <t>Connector Header Through Hole</t>
  </si>
  <si>
    <t>USB-A 2.0 Receptacle Connector</t>
  </si>
  <si>
    <t>SMA Female Panel Mount</t>
  </si>
  <si>
    <t>AK670/2-1-BLACK</t>
  </si>
  <si>
    <t>IDSD-06-D-08.00-T</t>
  </si>
  <si>
    <t>Ribbon Cable</t>
  </si>
  <si>
    <t>(Optional)Connector Header Through Hole</t>
  </si>
  <si>
    <t>USB-A 2.0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</si>
</sst>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42"/>
    <xf numFmtId="8" fontId="0" fillId="0" borderId="0" xfId="0" applyNumberForma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dam-tech/USB-A-S-RA-TSMT/9832331" TargetMode="External"/><Relationship Id="rId3" Type="http://schemas.openxmlformats.org/officeDocument/2006/relationships/hyperlink" Target="https://www.digikey.com/en/products/detail/samsung-electro-mechanics/CL21A106KOQNNNE/3886754" TargetMode="External"/><Relationship Id="rId7" Type="http://schemas.openxmlformats.org/officeDocument/2006/relationships/hyperlink" Target="https://www.digikey.com/en/products/detail/amphenol-cs-commercial-products/G800W590018EU/13682991" TargetMode="External"/><Relationship Id="rId2" Type="http://schemas.openxmlformats.org/officeDocument/2006/relationships/hyperlink" Target="https://www.digikey.com/en/products/detail/texas-instruments/LM5114BMF-NOPB/3137454" TargetMode="External"/><Relationship Id="rId1" Type="http://schemas.openxmlformats.org/officeDocument/2006/relationships/hyperlink" Target="https://www.digikey.com/en/products/detail/taoglas-limited/PCB-114SMAFSTJ-A/15998672" TargetMode="External"/><Relationship Id="rId6" Type="http://schemas.openxmlformats.org/officeDocument/2006/relationships/hyperlink" Target="https://www.digikey.com/en/products/detail/w%C3%BCrth-elektronik/150060GS75000/4489898" TargetMode="External"/><Relationship Id="rId11" Type="http://schemas.openxmlformats.org/officeDocument/2006/relationships/hyperlink" Target="https://www.digikey.com/en/products/detail/samtec-inc/IDSD-06-D-08-00-T/9719603" TargetMode="External"/><Relationship Id="rId5" Type="http://schemas.openxmlformats.org/officeDocument/2006/relationships/hyperlink" Target="https://www.digikey.com/en/products/detail/vishay-dale/CRCW08054K70FKEAC/7928553" TargetMode="External"/><Relationship Id="rId10" Type="http://schemas.openxmlformats.org/officeDocument/2006/relationships/hyperlink" Target="https://www.digikey.com/en/products/detail/assmann-wsw-components/AK670-2-1-BLACK/2391702" TargetMode="External"/><Relationship Id="rId4" Type="http://schemas.openxmlformats.org/officeDocument/2006/relationships/hyperlink" Target="https://www.digikey.com/en/products/detail/panasonic-electronic-components/ERJ-6GEY0R00V/78163" TargetMode="External"/><Relationship Id="rId9" Type="http://schemas.openxmlformats.org/officeDocument/2006/relationships/hyperlink" Target="https://www.digikey.com/en/products/detail/amphenol-cs-commercial-products/G800W590018EU/136829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E479-F715-4032-A56E-D840F1A81333}">
  <dimension ref="A1:F12"/>
  <sheetViews>
    <sheetView tabSelected="1" workbookViewId="0">
      <selection activeCell="B10" sqref="B10"/>
    </sheetView>
  </sheetViews>
  <sheetFormatPr defaultRowHeight="14.5" x14ac:dyDescent="0.35"/>
  <cols>
    <col min="1" max="1" width="34.81640625" customWidth="1"/>
    <col min="2" max="2" width="22.453125" customWidth="1"/>
    <col min="3" max="3" width="8.7265625" customWidth="1"/>
    <col min="4" max="4" width="17.1796875" customWidth="1"/>
    <col min="5" max="5" width="10.6328125" customWidth="1"/>
    <col min="6" max="6" width="90.1796875" customWidth="1"/>
  </cols>
  <sheetData>
    <row r="1" spans="1:6" x14ac:dyDescent="0.35">
      <c r="A1" s="1" t="s">
        <v>18</v>
      </c>
      <c r="B1" s="1" t="s">
        <v>15</v>
      </c>
      <c r="C1" s="1" t="s">
        <v>0</v>
      </c>
      <c r="D1" s="1" t="s">
        <v>14</v>
      </c>
      <c r="E1" s="1" t="s">
        <v>13</v>
      </c>
      <c r="F1" s="1" t="s">
        <v>12</v>
      </c>
    </row>
    <row r="2" spans="1:6" x14ac:dyDescent="0.35">
      <c r="A2" t="s">
        <v>31</v>
      </c>
      <c r="B2" t="s">
        <v>16</v>
      </c>
      <c r="C2">
        <v>8</v>
      </c>
      <c r="D2" s="3">
        <v>4.5</v>
      </c>
      <c r="E2" s="3">
        <f>SUM(C2*D2)</f>
        <v>36</v>
      </c>
      <c r="F2" s="2" t="s">
        <v>1</v>
      </c>
    </row>
    <row r="3" spans="1:6" x14ac:dyDescent="0.35">
      <c r="A3" t="s">
        <v>25</v>
      </c>
      <c r="B3" t="s">
        <v>17</v>
      </c>
      <c r="C3">
        <v>8</v>
      </c>
      <c r="D3" s="3">
        <v>1.86</v>
      </c>
      <c r="E3" s="3">
        <f>SUM(C3*D3)</f>
        <v>14.88</v>
      </c>
      <c r="F3" s="2" t="s">
        <v>2</v>
      </c>
    </row>
    <row r="4" spans="1:6" x14ac:dyDescent="0.35">
      <c r="A4" t="s">
        <v>24</v>
      </c>
      <c r="B4" t="s">
        <v>19</v>
      </c>
      <c r="C4">
        <v>8</v>
      </c>
      <c r="D4" s="3">
        <v>0.08</v>
      </c>
      <c r="E4" s="3">
        <f>SUM(C4*D4)</f>
        <v>0.64</v>
      </c>
      <c r="F4" s="2" t="s">
        <v>3</v>
      </c>
    </row>
    <row r="5" spans="1:6" x14ac:dyDescent="0.35">
      <c r="A5" t="s">
        <v>26</v>
      </c>
      <c r="B5" t="s">
        <v>20</v>
      </c>
      <c r="C5">
        <v>16</v>
      </c>
      <c r="D5" s="3">
        <v>0.1</v>
      </c>
      <c r="E5" s="3">
        <f>SUM(C5*D5)</f>
        <v>1.6</v>
      </c>
      <c r="F5" s="2" t="s">
        <v>4</v>
      </c>
    </row>
    <row r="6" spans="1:6" x14ac:dyDescent="0.35">
      <c r="A6" t="s">
        <v>27</v>
      </c>
      <c r="B6" t="s">
        <v>21</v>
      </c>
      <c r="C6">
        <v>1</v>
      </c>
      <c r="D6" s="3">
        <v>0.1</v>
      </c>
      <c r="E6" s="3">
        <f>SUM(C6*D6)</f>
        <v>0.1</v>
      </c>
      <c r="F6" s="2" t="s">
        <v>5</v>
      </c>
    </row>
    <row r="7" spans="1:6" x14ac:dyDescent="0.35">
      <c r="A7" s="4" t="s">
        <v>28</v>
      </c>
      <c r="B7" t="s">
        <v>22</v>
      </c>
      <c r="C7">
        <v>1</v>
      </c>
      <c r="D7" s="3">
        <v>0.15</v>
      </c>
      <c r="E7" s="3">
        <f>SUM(C7*D7)</f>
        <v>0.15</v>
      </c>
      <c r="F7" s="2" t="s">
        <v>6</v>
      </c>
    </row>
    <row r="8" spans="1:6" x14ac:dyDescent="0.35">
      <c r="A8" t="s">
        <v>29</v>
      </c>
      <c r="B8" t="s">
        <v>23</v>
      </c>
      <c r="C8">
        <v>2</v>
      </c>
      <c r="F8" s="2" t="s">
        <v>7</v>
      </c>
    </row>
    <row r="9" spans="1:6" x14ac:dyDescent="0.35">
      <c r="A9" t="s">
        <v>30</v>
      </c>
      <c r="B9" t="s">
        <v>8</v>
      </c>
      <c r="C9">
        <v>1</v>
      </c>
      <c r="D9" s="3">
        <v>0.63</v>
      </c>
      <c r="E9" s="3">
        <f>SUM(C9*D9)</f>
        <v>0.63</v>
      </c>
      <c r="F9" s="2" t="s">
        <v>9</v>
      </c>
    </row>
    <row r="10" spans="1:6" x14ac:dyDescent="0.35">
      <c r="A10" t="s">
        <v>36</v>
      </c>
      <c r="B10" t="s">
        <v>32</v>
      </c>
      <c r="C10">
        <v>1</v>
      </c>
      <c r="D10" s="3">
        <v>2.31</v>
      </c>
      <c r="E10" s="3">
        <f>SUM(C10*D10)</f>
        <v>2.31</v>
      </c>
      <c r="F10" s="2" t="s">
        <v>10</v>
      </c>
    </row>
    <row r="11" spans="1:6" x14ac:dyDescent="0.35">
      <c r="A11" t="s">
        <v>34</v>
      </c>
      <c r="B11" t="s">
        <v>33</v>
      </c>
      <c r="C11">
        <v>1</v>
      </c>
      <c r="D11" s="3">
        <v>5.96</v>
      </c>
      <c r="E11" s="3">
        <f>SUM(C11*D11)</f>
        <v>5.96</v>
      </c>
      <c r="F11" s="2" t="s">
        <v>11</v>
      </c>
    </row>
    <row r="12" spans="1:6" x14ac:dyDescent="0.35">
      <c r="A12" t="s">
        <v>35</v>
      </c>
      <c r="B12" t="s">
        <v>23</v>
      </c>
      <c r="C12">
        <v>1</v>
      </c>
      <c r="D12" s="3">
        <v>0.15</v>
      </c>
      <c r="E12" s="3">
        <v>0.15</v>
      </c>
      <c r="F12" s="2" t="s">
        <v>7</v>
      </c>
    </row>
  </sheetData>
  <hyperlinks>
    <hyperlink ref="F2" r:id="rId1" xr:uid="{E015B1ED-3048-41C2-A06D-6A5F5C7442BD}"/>
    <hyperlink ref="F3" r:id="rId2" xr:uid="{F0467F1A-B6F5-47D0-9512-88421F2780EF}"/>
    <hyperlink ref="F4" r:id="rId3" xr:uid="{1E443725-4026-4758-A47C-F0F2A5E212E3}"/>
    <hyperlink ref="F5" r:id="rId4" xr:uid="{CA9BA0CE-8EAB-4A86-86A2-CF32A84CEACF}"/>
    <hyperlink ref="F6" r:id="rId5" xr:uid="{E7ABCDE1-798B-435D-A7B7-A79AE3F6BABB}"/>
    <hyperlink ref="F7" r:id="rId6" xr:uid="{0297BEEE-DF6B-472D-A314-E8DA0FEB2034}"/>
    <hyperlink ref="F8" r:id="rId7" xr:uid="{EE3A57DE-EC6D-41AB-9568-A272C260E33A}"/>
    <hyperlink ref="F9" r:id="rId8" xr:uid="{1D350EC9-D76B-4C62-8380-2A4D89437BD8}"/>
    <hyperlink ref="F12" r:id="rId9" xr:uid="{5803B333-EEDF-443D-99C7-D0018ED4B948}"/>
    <hyperlink ref="F10" r:id="rId10" xr:uid="{8FDE3339-132A-415F-B8B9-716F98C2020D}"/>
    <hyperlink ref="F11" r:id="rId11" xr:uid="{3854B431-E32C-4F3E-83C0-5BC9D3DC07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pmod_buffer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Bhakta, Priya Arun</dc:creator>
  <cp:lastModifiedBy>Bhakta, Priya Arun</cp:lastModifiedBy>
  <dcterms:created xsi:type="dcterms:W3CDTF">2026-01-27T23:38:01Z</dcterms:created>
  <dcterms:modified xsi:type="dcterms:W3CDTF">2026-01-28T00:56:13Z</dcterms:modified>
</cp:coreProperties>
</file>