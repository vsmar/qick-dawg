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hakt\Documents\QICK_DAWG\"/>
    </mc:Choice>
  </mc:AlternateContent>
  <xr:revisionPtr revIDLastSave="0" documentId="13_ncr:1_{E3504935-1FC1-4C37-8429-028E0E51432F}" xr6:coauthVersionLast="47" xr6:coauthVersionMax="47" xr10:uidLastSave="{00000000-0000-0000-0000-000000000000}"/>
  <bookViews>
    <workbookView xWindow="20020" yWindow="3430" windowWidth="27180" windowHeight="15900" tabRatio="286" xr2:uid="{3C569A67-1884-D347-8EA0-F16A0896E0DF}"/>
  </bookViews>
  <sheets>
    <sheet name="4x2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10" i="1"/>
  <c r="E9" i="1"/>
  <c r="E6" i="1"/>
  <c r="E5" i="1"/>
  <c r="E3" i="1"/>
  <c r="E12" i="1"/>
</calcChain>
</file>

<file path=xl/sharedStrings.xml><?xml version="1.0" encoding="utf-8"?>
<sst xmlns="http://schemas.openxmlformats.org/spreadsheetml/2006/main" count="63" uniqueCount="45">
  <si>
    <t>Designator</t>
  </si>
  <si>
    <t>Component</t>
  </si>
  <si>
    <t>Source (link)</t>
  </si>
  <si>
    <t>Material</t>
  </si>
  <si>
    <t>RFSoC4x2</t>
  </si>
  <si>
    <t>https://www.realdigital.org/hardware/rfsoc-4x2</t>
  </si>
  <si>
    <t>Other</t>
  </si>
  <si>
    <t>Metal</t>
  </si>
  <si>
    <t>G800W590018EU</t>
  </si>
  <si>
    <t>https://www.digikey.com/en/products/detail/amphenol-cs-commercial-products/G800W590018EU/13682991</t>
  </si>
  <si>
    <t>IDSD-06-D-08.00-T</t>
  </si>
  <si>
    <t>https://www.digikey.com/en/products/detail/samtec-inc/IDSD-06-D-08-00-T/9719603</t>
  </si>
  <si>
    <t>https://www.digikey.com/en/products/detail/te-connectivity-linx/ADP-SMAF-SMAF-B-G/11314389</t>
  </si>
  <si>
    <t>https://www.digikey.com/en/products/detail/keystone-electronics/9900/317321</t>
  </si>
  <si>
    <t>Screw</t>
  </si>
  <si>
    <t>4-40 machine Screw</t>
  </si>
  <si>
    <t>https://www.digikey.com/en/products/detail/raf-electronic-hardware/2061-440-S-12/9835526</t>
  </si>
  <si>
    <t>Hex post</t>
  </si>
  <si>
    <t>2061-440-S-12</t>
  </si>
  <si>
    <t>https://www.digikey.com/en/products/detail/eaton-tripp-lite/N002-002-BK/4438376</t>
  </si>
  <si>
    <t>N002-002-BK</t>
  </si>
  <si>
    <t>TP-Link ER605 v2</t>
  </si>
  <si>
    <t>https://www.amazon.com/TP-Link-Integrated-Lightening-Protection-TL-R605/dp/B08QTXNWZ1/ref=asc_df_B08QTXNWZ1/?tag=hyprod-20&amp;linkCode=df0&amp;hvadid=475692076734&amp;hvpos=&amp;hvnetw=g&amp;hvrand=3761702075041011209&amp;hvpone=&amp;hvptwo=&amp;hvqmt=&amp;hvdev=c&amp;hvdvcmdl=&amp;hvlocint=&amp;hvlocphy=1022494&amp;hvtargid=pla-1149738264234&amp;th=1</t>
  </si>
  <si>
    <t>Base</t>
  </si>
  <si>
    <t>LAN</t>
  </si>
  <si>
    <t>Managed ethernet router</t>
  </si>
  <si>
    <t>Required By</t>
  </si>
  <si>
    <t>RFSoC4x2 FPGA</t>
  </si>
  <si>
    <t>Ethernet cables</t>
  </si>
  <si>
    <t>12 pin PMOD Header</t>
  </si>
  <si>
    <t>12 Pin PMOD cable</t>
  </si>
  <si>
    <t>Type A USB cable</t>
  </si>
  <si>
    <t xml:space="preserve">ADP-SMAF-SMAF-B-G </t>
  </si>
  <si>
    <t>4x2 FPGA Enclosure w/ lid</t>
  </si>
  <si>
    <t>https://github.com/sandialabs/qick-dawg/tree/main/hardware</t>
  </si>
  <si>
    <t>4x2enclosure main.sldprt (CAD files)</t>
  </si>
  <si>
    <t>SMA surface mount Panel Mount</t>
  </si>
  <si>
    <t>SMA Cables (12 in )</t>
  </si>
  <si>
    <t>BU-4150081012</t>
  </si>
  <si>
    <t>Cost Per Unit (USD)</t>
  </si>
  <si>
    <t>Total (USD)</t>
  </si>
  <si>
    <t>https://www.digikey.com/en/products/detail/mueller-electric-co/BU-4150081012/24637560</t>
  </si>
  <si>
    <t>AK670/2-1-BLACK</t>
  </si>
  <si>
    <t>https://www.digikey.com/en/products/detail/assmann-wsw-components/AK670-2-1-BLACK/2391702</t>
  </si>
  <si>
    <t>Quanity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</si>
</sst>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8" fontId="0" fillId="0" borderId="0" xfId="0" applyNumberFormat="1"/>
    <xf numFmtId="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andialabs/qick-dawg/tree/main/hardware" TargetMode="External"/><Relationship Id="rId2" Type="http://schemas.openxmlformats.org/officeDocument/2006/relationships/hyperlink" Target="https://www.digikey.com/en/products/detail/te-connectivity-linx/ADP-SMAF-SMAF-B-G/11314389" TargetMode="External"/><Relationship Id="rId1" Type="http://schemas.openxmlformats.org/officeDocument/2006/relationships/hyperlink" Target="https://www.digikey.com/en/products/detail/amphenol-cs-commercial-products/G800W590018EU/13682991" TargetMode="External"/><Relationship Id="rId5" Type="http://schemas.openxmlformats.org/officeDocument/2006/relationships/hyperlink" Target="https://www.digikey.com/en/products/detail/assmann-wsw-components/AK670-2-1-BLACK/2391702" TargetMode="External"/><Relationship Id="rId4" Type="http://schemas.openxmlformats.org/officeDocument/2006/relationships/hyperlink" Target="https://www.digikey.com/en/products/detail/mueller-electric-co/BU-4150081012/246375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AFC3-DA12-714A-BF7C-7C141C95CD4D}">
  <dimension ref="A1:H12"/>
  <sheetViews>
    <sheetView tabSelected="1" workbookViewId="0">
      <selection activeCell="C2" sqref="C2"/>
    </sheetView>
  </sheetViews>
  <sheetFormatPr defaultColWidth="10.6640625" defaultRowHeight="16" x14ac:dyDescent="0.4"/>
  <cols>
    <col min="1" max="1" width="26.5" customWidth="1"/>
    <col min="2" max="2" width="30.08203125" customWidth="1"/>
    <col min="3" max="3" width="8.08203125" customWidth="1"/>
    <col min="4" max="4" width="17" customWidth="1"/>
    <col min="6" max="6" width="90" customWidth="1"/>
    <col min="8" max="8" width="14.6640625" customWidth="1"/>
  </cols>
  <sheetData>
    <row r="1" spans="1:8" s="1" customFormat="1" x14ac:dyDescent="0.4">
      <c r="A1" s="1" t="s">
        <v>0</v>
      </c>
      <c r="B1" s="1" t="s">
        <v>1</v>
      </c>
      <c r="C1" s="1" t="s">
        <v>44</v>
      </c>
      <c r="D1" s="1" t="s">
        <v>39</v>
      </c>
      <c r="E1" s="1" t="s">
        <v>40</v>
      </c>
      <c r="F1" s="1" t="s">
        <v>2</v>
      </c>
      <c r="G1" s="1" t="s">
        <v>3</v>
      </c>
      <c r="H1" s="1" t="s">
        <v>26</v>
      </c>
    </row>
    <row r="2" spans="1:8" x14ac:dyDescent="0.4">
      <c r="A2" t="s">
        <v>27</v>
      </c>
      <c r="B2" t="s">
        <v>4</v>
      </c>
      <c r="C2">
        <v>1</v>
      </c>
      <c r="D2" s="5">
        <v>2149</v>
      </c>
      <c r="E2" s="5">
        <v>2149</v>
      </c>
      <c r="F2" t="s">
        <v>5</v>
      </c>
      <c r="G2" t="s">
        <v>6</v>
      </c>
      <c r="H2" t="s">
        <v>23</v>
      </c>
    </row>
    <row r="3" spans="1:8" x14ac:dyDescent="0.4">
      <c r="A3" t="s">
        <v>33</v>
      </c>
      <c r="B3" t="s">
        <v>35</v>
      </c>
      <c r="C3">
        <v>1</v>
      </c>
      <c r="D3" s="5">
        <v>1390</v>
      </c>
      <c r="E3" s="5">
        <f>$D3*C3</f>
        <v>1390</v>
      </c>
      <c r="F3" s="3" t="s">
        <v>34</v>
      </c>
      <c r="G3" t="s">
        <v>7</v>
      </c>
      <c r="H3" t="s">
        <v>23</v>
      </c>
    </row>
    <row r="4" spans="1:8" x14ac:dyDescent="0.4">
      <c r="A4" t="s">
        <v>31</v>
      </c>
      <c r="B4" t="s">
        <v>42</v>
      </c>
      <c r="C4">
        <v>1</v>
      </c>
      <c r="D4" s="4">
        <v>2.31</v>
      </c>
      <c r="E4" s="4">
        <v>2.31</v>
      </c>
      <c r="F4" s="3" t="s">
        <v>43</v>
      </c>
      <c r="G4" t="s">
        <v>6</v>
      </c>
      <c r="H4" t="s">
        <v>23</v>
      </c>
    </row>
    <row r="5" spans="1:8" x14ac:dyDescent="0.4">
      <c r="A5" t="s">
        <v>36</v>
      </c>
      <c r="B5" t="s">
        <v>32</v>
      </c>
      <c r="C5">
        <v>6</v>
      </c>
      <c r="D5" s="4">
        <v>4.53</v>
      </c>
      <c r="E5" s="4">
        <f>$D5*C5</f>
        <v>27.18</v>
      </c>
      <c r="F5" s="3" t="s">
        <v>12</v>
      </c>
      <c r="G5" t="s">
        <v>6</v>
      </c>
      <c r="H5" t="s">
        <v>23</v>
      </c>
    </row>
    <row r="6" spans="1:8" x14ac:dyDescent="0.4">
      <c r="A6" t="s">
        <v>29</v>
      </c>
      <c r="B6" t="s">
        <v>8</v>
      </c>
      <c r="C6">
        <v>1</v>
      </c>
      <c r="D6" s="4">
        <v>0.18</v>
      </c>
      <c r="E6" s="4">
        <f>$D6*C6</f>
        <v>0.18</v>
      </c>
      <c r="F6" s="3" t="s">
        <v>9</v>
      </c>
      <c r="G6" t="s">
        <v>6</v>
      </c>
      <c r="H6" t="s">
        <v>23</v>
      </c>
    </row>
    <row r="7" spans="1:8" x14ac:dyDescent="0.4">
      <c r="A7" t="s">
        <v>30</v>
      </c>
      <c r="B7" t="s">
        <v>10</v>
      </c>
      <c r="C7">
        <v>1</v>
      </c>
      <c r="D7" s="4">
        <v>5.13</v>
      </c>
      <c r="E7" s="4">
        <f>$D7*C7</f>
        <v>5.13</v>
      </c>
      <c r="F7" t="s">
        <v>11</v>
      </c>
      <c r="G7" t="s">
        <v>6</v>
      </c>
      <c r="H7" t="s">
        <v>23</v>
      </c>
    </row>
    <row r="8" spans="1:8" x14ac:dyDescent="0.4">
      <c r="A8" t="s">
        <v>14</v>
      </c>
      <c r="B8" s="2" t="s">
        <v>15</v>
      </c>
      <c r="C8">
        <v>25</v>
      </c>
      <c r="D8" s="4">
        <v>1.5</v>
      </c>
      <c r="E8" s="4">
        <v>1.5</v>
      </c>
      <c r="F8" t="s">
        <v>13</v>
      </c>
      <c r="G8" t="s">
        <v>7</v>
      </c>
      <c r="H8" t="s">
        <v>23</v>
      </c>
    </row>
    <row r="9" spans="1:8" x14ac:dyDescent="0.4">
      <c r="A9" t="s">
        <v>17</v>
      </c>
      <c r="B9" t="s">
        <v>18</v>
      </c>
      <c r="C9">
        <v>20</v>
      </c>
      <c r="D9" s="4">
        <v>0.92</v>
      </c>
      <c r="E9" s="4">
        <f>$D9*C9</f>
        <v>18.400000000000002</v>
      </c>
      <c r="F9" t="s">
        <v>16</v>
      </c>
      <c r="G9" t="s">
        <v>7</v>
      </c>
      <c r="H9" t="s">
        <v>23</v>
      </c>
    </row>
    <row r="10" spans="1:8" x14ac:dyDescent="0.4">
      <c r="A10" t="s">
        <v>28</v>
      </c>
      <c r="B10" t="s">
        <v>20</v>
      </c>
      <c r="C10">
        <v>1</v>
      </c>
      <c r="D10" s="4">
        <v>2.12</v>
      </c>
      <c r="E10" s="4">
        <f>$D10*C10</f>
        <v>2.12</v>
      </c>
      <c r="F10" t="s">
        <v>19</v>
      </c>
      <c r="G10" t="s">
        <v>6</v>
      </c>
      <c r="H10" t="s">
        <v>23</v>
      </c>
    </row>
    <row r="11" spans="1:8" x14ac:dyDescent="0.4">
      <c r="A11" t="s">
        <v>25</v>
      </c>
      <c r="B11" t="s">
        <v>21</v>
      </c>
      <c r="C11">
        <v>1</v>
      </c>
      <c r="D11" s="5">
        <v>57</v>
      </c>
      <c r="E11" s="5">
        <v>57</v>
      </c>
      <c r="F11" t="s">
        <v>22</v>
      </c>
      <c r="G11" t="s">
        <v>6</v>
      </c>
      <c r="H11" t="s">
        <v>24</v>
      </c>
    </row>
    <row r="12" spans="1:8" x14ac:dyDescent="0.4">
      <c r="A12" t="s">
        <v>37</v>
      </c>
      <c r="B12" t="s">
        <v>38</v>
      </c>
      <c r="C12">
        <v>6</v>
      </c>
      <c r="D12" s="4">
        <v>30.54</v>
      </c>
      <c r="E12" s="4">
        <f>SUM(C12*D12)</f>
        <v>183.24</v>
      </c>
      <c r="F12" s="3" t="s">
        <v>41</v>
      </c>
      <c r="G12" t="s">
        <v>6</v>
      </c>
      <c r="H12" t="s">
        <v>23</v>
      </c>
    </row>
  </sheetData>
  <hyperlinks>
    <hyperlink ref="F6" r:id="rId1" xr:uid="{8C62D791-D8E4-4F43-8465-AD9005DD28E2}"/>
    <hyperlink ref="F5" r:id="rId2" xr:uid="{F3A4189D-BE82-41EF-BD3F-2BB644AD9032}"/>
    <hyperlink ref="F3" r:id="rId3" xr:uid="{66D6A836-9D65-4AE9-AAE3-24DDF379101D}"/>
    <hyperlink ref="F12" r:id="rId4" xr:uid="{04275210-FF70-4CE0-AF23-5F9AF9297977}"/>
    <hyperlink ref="F4" r:id="rId5" xr:uid="{F6E51E9A-8E97-421C-B121-EB1C2EBB81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4x2_Materials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Mounce, Andy</dc:creator>
  <cp:lastModifiedBy>Bhakta, Priya Arun</cp:lastModifiedBy>
  <dcterms:created xsi:type="dcterms:W3CDTF">2025-02-19T17:08:28Z</dcterms:created>
  <dcterms:modified xsi:type="dcterms:W3CDTF">2026-01-28T00:32:31Z</dcterms:modified>
</cp:coreProperties>
</file>